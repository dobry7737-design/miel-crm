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-CP\Documents\AAM\AAM\Tarifs Compagnie\"/>
    </mc:Choice>
  </mc:AlternateContent>
  <xr:revisionPtr revIDLastSave="0" documentId="13_ncr:1_{4D701C84-F23F-4E15-A738-F021AF532BCC}" xr6:coauthVersionLast="47" xr6:coauthVersionMax="47" xr10:uidLastSave="{00000000-0000-0000-0000-000000000000}"/>
  <bookViews>
    <workbookView xWindow="-120" yWindow="-120" windowWidth="29040" windowHeight="15720" xr2:uid="{3869C431-8670-4E61-B688-4C34D61E8A82}"/>
  </bookViews>
  <sheets>
    <sheet name="Compagnies" sheetId="3" r:id="rId1"/>
    <sheet name="Auto" sheetId="1" r:id="rId2"/>
    <sheet name="Voyag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E6" i="1"/>
  <c r="F6" i="1"/>
  <c r="E7" i="1"/>
  <c r="F7" i="1"/>
  <c r="E8" i="1"/>
  <c r="F8" i="1" s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 s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4" i="1"/>
  <c r="F4" i="1" s="1"/>
  <c r="L12" i="2"/>
  <c r="M12" i="2" s="1"/>
  <c r="L8" i="2"/>
  <c r="M8" i="2" s="1"/>
  <c r="L7" i="2"/>
  <c r="M7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1" i="2"/>
  <c r="M11" i="2" s="1"/>
  <c r="L10" i="2"/>
  <c r="M10" i="2" s="1"/>
  <c r="L9" i="2"/>
  <c r="M9" i="2" s="1"/>
  <c r="E12" i="2"/>
  <c r="F12" i="2" s="1"/>
  <c r="E11" i="2"/>
  <c r="F11" i="2" s="1"/>
  <c r="E10" i="2"/>
  <c r="F10" i="2" s="1"/>
  <c r="E9" i="2"/>
  <c r="F9" i="2" s="1"/>
  <c r="E7" i="2"/>
  <c r="F7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14" i="2"/>
  <c r="F14" i="2" s="1"/>
  <c r="E13" i="2" l="1"/>
  <c r="F13" i="2" s="1"/>
  <c r="E8" i="2"/>
  <c r="F8" i="2" s="1"/>
</calcChain>
</file>

<file path=xl/sharedStrings.xml><?xml version="1.0" encoding="utf-8"?>
<sst xmlns="http://schemas.openxmlformats.org/spreadsheetml/2006/main" count="116" uniqueCount="52">
  <si>
    <t>Duree</t>
  </si>
  <si>
    <t>Zone 1 : Afrique, Europe, Moyen orient</t>
  </si>
  <si>
    <t>Zone 2 : Amerique, Reste du monde</t>
  </si>
  <si>
    <t>Zone 1</t>
  </si>
  <si>
    <t>Age</t>
  </si>
  <si>
    <t>Prime nette</t>
  </si>
  <si>
    <t>Couts</t>
  </si>
  <si>
    <t>Taxes</t>
  </si>
  <si>
    <t>Prime Totale</t>
  </si>
  <si>
    <t>1 a 7 jours</t>
  </si>
  <si>
    <t>1 a 15 jours</t>
  </si>
  <si>
    <t>1 a 32 jours</t>
  </si>
  <si>
    <t>1 a 62 jours</t>
  </si>
  <si>
    <t>1 a 92 jours</t>
  </si>
  <si>
    <t>6 mois</t>
  </si>
  <si>
    <t>12 mois</t>
  </si>
  <si>
    <t>0 a 17 ans</t>
  </si>
  <si>
    <t>18 a 80 ans</t>
  </si>
  <si>
    <t>Zone 2</t>
  </si>
  <si>
    <t>TARIF ASDSURANCES VOYOGE</t>
  </si>
  <si>
    <t>Puissance</t>
  </si>
  <si>
    <t>Durée</t>
  </si>
  <si>
    <t>Accéssoires</t>
  </si>
  <si>
    <t>Prime totale</t>
  </si>
  <si>
    <t>1 mois</t>
  </si>
  <si>
    <t>3 mois</t>
  </si>
  <si>
    <t>1 CV</t>
  </si>
  <si>
    <t>2 à 4 CV</t>
  </si>
  <si>
    <t>5 à 7 CV</t>
  </si>
  <si>
    <t>8 à 10 CV</t>
  </si>
  <si>
    <t>11 à 16 CV</t>
  </si>
  <si>
    <t>17 CV et plus</t>
  </si>
  <si>
    <t>TARIF ASDSURANCES AUTOMOBILE</t>
  </si>
  <si>
    <t>Garantie RC</t>
  </si>
  <si>
    <t>Ordre</t>
  </si>
  <si>
    <t>Raison sociale</t>
  </si>
  <si>
    <t>Vie</t>
  </si>
  <si>
    <t>AFG ASSURANCES MALI</t>
  </si>
  <si>
    <t>SUNU ASSURANCES MALI</t>
  </si>
  <si>
    <t>SABU NYUMAN (SBN)</t>
  </si>
  <si>
    <t>NSIA MALI</t>
  </si>
  <si>
    <t>ASSURANCES LAFIA</t>
  </si>
  <si>
    <t>LES ASSURANCES BLEUES / CNAR SA</t>
  </si>
  <si>
    <t>NALLIAS SA</t>
  </si>
  <si>
    <t>SONAVIE</t>
  </si>
  <si>
    <t>NSIA VIE MALI</t>
  </si>
  <si>
    <t>SUNU ASSURANCES VIE</t>
  </si>
  <si>
    <t>CIF ASSURANCES VIE MALI</t>
  </si>
  <si>
    <t>Non vie</t>
  </si>
  <si>
    <t>Activité</t>
  </si>
  <si>
    <t>SANLAMALLIANZ MALI</t>
  </si>
  <si>
    <t>SANLAMALLIANZ MALI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</si>
</sst>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0" borderId="3" xfId="0" applyNumberFormat="1" applyFont="1" applyBorder="1"/>
    <xf numFmtId="3" fontId="3" fillId="2" borderId="4" xfId="0" applyNumberFormat="1" applyFont="1" applyFill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3" fontId="3" fillId="0" borderId="4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3" fillId="0" borderId="18" xfId="0" applyNumberFormat="1" applyFont="1" applyBorder="1"/>
    <xf numFmtId="3" fontId="3" fillId="0" borderId="19" xfId="0" applyNumberFormat="1" applyFont="1" applyBorder="1"/>
    <xf numFmtId="3" fontId="3" fillId="0" borderId="21" xfId="0" applyNumberFormat="1" applyFont="1" applyBorder="1"/>
    <xf numFmtId="3" fontId="3" fillId="0" borderId="22" xfId="0" applyNumberFormat="1" applyFont="1" applyBorder="1"/>
    <xf numFmtId="3" fontId="3" fillId="3" borderId="15" xfId="0" applyNumberFormat="1" applyFont="1" applyFill="1" applyBorder="1"/>
    <xf numFmtId="3" fontId="3" fillId="3" borderId="16" xfId="0" applyNumberFormat="1" applyFont="1" applyFill="1" applyBorder="1"/>
    <xf numFmtId="3" fontId="3" fillId="3" borderId="18" xfId="0" applyNumberFormat="1" applyFont="1" applyFill="1" applyBorder="1"/>
    <xf numFmtId="3" fontId="3" fillId="3" borderId="19" xfId="0" applyNumberFormat="1" applyFont="1" applyFill="1" applyBorder="1"/>
    <xf numFmtId="3" fontId="3" fillId="3" borderId="21" xfId="0" applyNumberFormat="1" applyFont="1" applyFill="1" applyBorder="1"/>
    <xf numFmtId="3" fontId="3" fillId="3" borderId="22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6041-3FEC-4FF4-BFDC-7072ABA372B7}">
  <dimension ref="A2:C16"/>
  <sheetViews>
    <sheetView tabSelected="1" workbookViewId="0">
      <selection activeCell="G10" sqref="G10"/>
    </sheetView>
  </sheetViews>
  <sheetFormatPr baseColWidth="10" defaultRowHeight="15.75" x14ac:dyDescent="0.25"/>
  <cols>
    <col min="1" max="1" width="6.7109375" style="1" bestFit="1" customWidth="1"/>
    <col min="2" max="2" width="40.85546875" style="1" bestFit="1" customWidth="1"/>
    <col min="3" max="3" width="8.42578125" style="1" bestFit="1" customWidth="1"/>
    <col min="4" max="16384" width="11.42578125" style="1"/>
  </cols>
  <sheetData>
    <row r="2" spans="1:3" ht="16.5" thickBot="1" x14ac:dyDescent="0.3"/>
    <row r="3" spans="1:3" ht="16.5" thickBot="1" x14ac:dyDescent="0.3">
      <c r="A3" s="4" t="s">
        <v>34</v>
      </c>
      <c r="B3" s="4" t="s">
        <v>35</v>
      </c>
      <c r="C3" s="4" t="s">
        <v>49</v>
      </c>
    </row>
    <row r="4" spans="1:3" x14ac:dyDescent="0.25">
      <c r="A4" s="16">
        <v>1</v>
      </c>
      <c r="B4" s="54" t="s">
        <v>37</v>
      </c>
      <c r="C4" s="49" t="s">
        <v>48</v>
      </c>
    </row>
    <row r="5" spans="1:3" x14ac:dyDescent="0.25">
      <c r="A5" s="18">
        <v>2</v>
      </c>
      <c r="B5" s="53" t="s">
        <v>41</v>
      </c>
      <c r="C5" s="50" t="s">
        <v>48</v>
      </c>
    </row>
    <row r="6" spans="1:3" x14ac:dyDescent="0.25">
      <c r="A6" s="18">
        <v>3</v>
      </c>
      <c r="B6" s="53" t="s">
        <v>42</v>
      </c>
      <c r="C6" s="50" t="s">
        <v>48</v>
      </c>
    </row>
    <row r="7" spans="1:3" x14ac:dyDescent="0.25">
      <c r="A7" s="18">
        <v>4</v>
      </c>
      <c r="B7" s="53" t="s">
        <v>43</v>
      </c>
      <c r="C7" s="50" t="s">
        <v>48</v>
      </c>
    </row>
    <row r="8" spans="1:3" x14ac:dyDescent="0.25">
      <c r="A8" s="18">
        <v>5</v>
      </c>
      <c r="B8" s="53" t="s">
        <v>40</v>
      </c>
      <c r="C8" s="50" t="s">
        <v>48</v>
      </c>
    </row>
    <row r="9" spans="1:3" x14ac:dyDescent="0.25">
      <c r="A9" s="18">
        <v>6</v>
      </c>
      <c r="B9" s="53" t="s">
        <v>39</v>
      </c>
      <c r="C9" s="50" t="s">
        <v>48</v>
      </c>
    </row>
    <row r="10" spans="1:3" x14ac:dyDescent="0.25">
      <c r="A10" s="18">
        <v>7</v>
      </c>
      <c r="B10" s="53" t="s">
        <v>50</v>
      </c>
      <c r="C10" s="50" t="s">
        <v>48</v>
      </c>
    </row>
    <row r="11" spans="1:3" ht="16.5" thickBot="1" x14ac:dyDescent="0.3">
      <c r="A11" s="20">
        <v>8</v>
      </c>
      <c r="B11" s="51" t="s">
        <v>38</v>
      </c>
      <c r="C11" s="52" t="s">
        <v>48</v>
      </c>
    </row>
    <row r="12" spans="1:3" x14ac:dyDescent="0.25">
      <c r="A12" s="16">
        <v>1</v>
      </c>
      <c r="B12" s="54" t="s">
        <v>47</v>
      </c>
      <c r="C12" s="49" t="s">
        <v>36</v>
      </c>
    </row>
    <row r="13" spans="1:3" x14ac:dyDescent="0.25">
      <c r="A13" s="18">
        <v>2</v>
      </c>
      <c r="B13" s="53" t="s">
        <v>45</v>
      </c>
      <c r="C13" s="50" t="s">
        <v>36</v>
      </c>
    </row>
    <row r="14" spans="1:3" x14ac:dyDescent="0.25">
      <c r="A14" s="18">
        <v>3</v>
      </c>
      <c r="B14" s="53" t="s">
        <v>51</v>
      </c>
      <c r="C14" s="50" t="s">
        <v>36</v>
      </c>
    </row>
    <row r="15" spans="1:3" x14ac:dyDescent="0.25">
      <c r="A15" s="18">
        <v>4</v>
      </c>
      <c r="B15" s="53" t="s">
        <v>44</v>
      </c>
      <c r="C15" s="50" t="s">
        <v>36</v>
      </c>
    </row>
    <row r="16" spans="1:3" ht="16.5" thickBot="1" x14ac:dyDescent="0.3">
      <c r="A16" s="20">
        <v>5</v>
      </c>
      <c r="B16" s="51" t="s">
        <v>46</v>
      </c>
      <c r="C16" s="52" t="s">
        <v>36</v>
      </c>
    </row>
  </sheetData>
  <sortState xmlns:xlrd2="http://schemas.microsoft.com/office/spreadsheetml/2017/richdata2" ref="B12:C16">
    <sortCondition ref="B12:B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5349-B178-49FF-ACB3-0B3363AAAF39}">
  <dimension ref="A1:F27"/>
  <sheetViews>
    <sheetView zoomScale="130" zoomScaleNormal="130" workbookViewId="0">
      <selection activeCell="A3" sqref="A3"/>
    </sheetView>
  </sheetViews>
  <sheetFormatPr baseColWidth="10" defaultRowHeight="15.75" x14ac:dyDescent="0.25"/>
  <cols>
    <col min="1" max="1" width="13.7109375" style="1" bestFit="1" customWidth="1"/>
    <col min="2" max="2" width="8.42578125" style="1" bestFit="1" customWidth="1"/>
    <col min="3" max="4" width="12.42578125" style="1" bestFit="1" customWidth="1"/>
    <col min="5" max="5" width="7.5703125" style="1" bestFit="1" customWidth="1"/>
    <col min="6" max="6" width="13.140625" style="1" bestFit="1" customWidth="1"/>
    <col min="7" max="16384" width="11.42578125" style="1"/>
  </cols>
  <sheetData>
    <row r="1" spans="1:6" x14ac:dyDescent="0.25">
      <c r="A1" s="37" t="s">
        <v>32</v>
      </c>
      <c r="B1" s="37"/>
      <c r="C1" s="37"/>
      <c r="D1" s="37"/>
      <c r="E1" s="37"/>
      <c r="F1" s="37"/>
    </row>
    <row r="2" spans="1:6" x14ac:dyDescent="0.25">
      <c r="A2" s="1" t="s">
        <v>33</v>
      </c>
    </row>
    <row r="3" spans="1:6" ht="16.5" thickBot="1" x14ac:dyDescent="0.3">
      <c r="A3" s="15" t="s">
        <v>20</v>
      </c>
      <c r="B3" s="15" t="s">
        <v>21</v>
      </c>
      <c r="C3" s="15" t="s">
        <v>5</v>
      </c>
      <c r="D3" s="15" t="s">
        <v>22</v>
      </c>
      <c r="E3" s="15" t="s">
        <v>7</v>
      </c>
      <c r="F3" s="15" t="s">
        <v>23</v>
      </c>
    </row>
    <row r="4" spans="1:6" x14ac:dyDescent="0.25">
      <c r="A4" s="38" t="s">
        <v>26</v>
      </c>
      <c r="B4" s="17" t="s">
        <v>24</v>
      </c>
      <c r="C4" s="25">
        <v>3538.3333333333339</v>
      </c>
      <c r="D4" s="25">
        <v>5000</v>
      </c>
      <c r="E4" s="25">
        <f>20%*(C4+D4)</f>
        <v>1707.666666666667</v>
      </c>
      <c r="F4" s="26">
        <f>C4+D4+E4</f>
        <v>10246</v>
      </c>
    </row>
    <row r="5" spans="1:6" x14ac:dyDescent="0.25">
      <c r="A5" s="39"/>
      <c r="B5" s="19" t="s">
        <v>25</v>
      </c>
      <c r="C5" s="27">
        <v>7076.6666666666679</v>
      </c>
      <c r="D5" s="27">
        <v>5000</v>
      </c>
      <c r="E5" s="27">
        <f t="shared" ref="E5:E27" si="0">20%*(C5+D5)</f>
        <v>2415.3333333333335</v>
      </c>
      <c r="F5" s="28">
        <f t="shared" ref="F5:F27" si="1">C5+D5+E5</f>
        <v>14492.000000000002</v>
      </c>
    </row>
    <row r="6" spans="1:6" x14ac:dyDescent="0.25">
      <c r="A6" s="39"/>
      <c r="B6" s="19" t="s">
        <v>14</v>
      </c>
      <c r="C6" s="27">
        <v>12973.333333333336</v>
      </c>
      <c r="D6" s="27">
        <v>5000</v>
      </c>
      <c r="E6" s="27">
        <f t="shared" si="0"/>
        <v>3594.6666666666674</v>
      </c>
      <c r="F6" s="28">
        <f t="shared" si="1"/>
        <v>21568.000000000004</v>
      </c>
    </row>
    <row r="7" spans="1:6" ht="16.5" thickBot="1" x14ac:dyDescent="0.3">
      <c r="A7" s="40"/>
      <c r="B7" s="21" t="s">
        <v>15</v>
      </c>
      <c r="C7" s="29">
        <v>14658.333333333336</v>
      </c>
      <c r="D7" s="29">
        <v>5000</v>
      </c>
      <c r="E7" s="29">
        <f t="shared" si="0"/>
        <v>3931.6666666666674</v>
      </c>
      <c r="F7" s="30">
        <f t="shared" si="1"/>
        <v>23590.000000000004</v>
      </c>
    </row>
    <row r="8" spans="1:6" x14ac:dyDescent="0.25">
      <c r="A8" s="41" t="s">
        <v>27</v>
      </c>
      <c r="B8" s="22" t="s">
        <v>24</v>
      </c>
      <c r="C8" s="31">
        <v>4267.5</v>
      </c>
      <c r="D8" s="31">
        <v>5000</v>
      </c>
      <c r="E8" s="31">
        <f t="shared" si="0"/>
        <v>1853.5</v>
      </c>
      <c r="F8" s="32">
        <f t="shared" si="1"/>
        <v>11121</v>
      </c>
    </row>
    <row r="9" spans="1:6" x14ac:dyDescent="0.25">
      <c r="A9" s="42"/>
      <c r="B9" s="23" t="s">
        <v>25</v>
      </c>
      <c r="C9" s="33">
        <v>8535</v>
      </c>
      <c r="D9" s="33">
        <v>5000</v>
      </c>
      <c r="E9" s="33">
        <f t="shared" si="0"/>
        <v>2707</v>
      </c>
      <c r="F9" s="34">
        <f t="shared" si="1"/>
        <v>16242</v>
      </c>
    </row>
    <row r="10" spans="1:6" x14ac:dyDescent="0.25">
      <c r="A10" s="42"/>
      <c r="B10" s="23" t="s">
        <v>14</v>
      </c>
      <c r="C10" s="33">
        <v>15649.166666666668</v>
      </c>
      <c r="D10" s="33">
        <v>5000</v>
      </c>
      <c r="E10" s="33">
        <f t="shared" si="0"/>
        <v>4129.8333333333339</v>
      </c>
      <c r="F10" s="34">
        <f t="shared" si="1"/>
        <v>24779</v>
      </c>
    </row>
    <row r="11" spans="1:6" ht="16.5" thickBot="1" x14ac:dyDescent="0.3">
      <c r="A11" s="43"/>
      <c r="B11" s="24" t="s">
        <v>15</v>
      </c>
      <c r="C11" s="35">
        <v>28453.333333333336</v>
      </c>
      <c r="D11" s="35">
        <v>5000</v>
      </c>
      <c r="E11" s="35">
        <f t="shared" si="0"/>
        <v>6690.6666666666679</v>
      </c>
      <c r="F11" s="36">
        <f t="shared" si="1"/>
        <v>40144</v>
      </c>
    </row>
    <row r="12" spans="1:6" x14ac:dyDescent="0.25">
      <c r="A12" s="38" t="s">
        <v>28</v>
      </c>
      <c r="B12" s="17" t="s">
        <v>24</v>
      </c>
      <c r="C12" s="25">
        <v>4880</v>
      </c>
      <c r="D12" s="25">
        <v>5000</v>
      </c>
      <c r="E12" s="25">
        <f t="shared" si="0"/>
        <v>1976</v>
      </c>
      <c r="F12" s="26">
        <f t="shared" si="1"/>
        <v>11856</v>
      </c>
    </row>
    <row r="13" spans="1:6" x14ac:dyDescent="0.25">
      <c r="A13" s="39"/>
      <c r="B13" s="19" t="s">
        <v>25</v>
      </c>
      <c r="C13" s="27">
        <v>9760</v>
      </c>
      <c r="D13" s="27">
        <v>5000</v>
      </c>
      <c r="E13" s="27">
        <f t="shared" si="0"/>
        <v>2952</v>
      </c>
      <c r="F13" s="28">
        <f t="shared" si="1"/>
        <v>17712</v>
      </c>
    </row>
    <row r="14" spans="1:6" x14ac:dyDescent="0.25">
      <c r="A14" s="39"/>
      <c r="B14" s="19" t="s">
        <v>14</v>
      </c>
      <c r="C14" s="27">
        <v>17893.333333333336</v>
      </c>
      <c r="D14" s="27">
        <v>5000</v>
      </c>
      <c r="E14" s="27">
        <f t="shared" si="0"/>
        <v>4578.666666666667</v>
      </c>
      <c r="F14" s="28">
        <f t="shared" si="1"/>
        <v>27472.000000000004</v>
      </c>
    </row>
    <row r="15" spans="1:6" ht="16.5" thickBot="1" x14ac:dyDescent="0.3">
      <c r="A15" s="40"/>
      <c r="B15" s="21" t="s">
        <v>15</v>
      </c>
      <c r="C15" s="29">
        <v>32533.333333333336</v>
      </c>
      <c r="D15" s="29">
        <v>5000</v>
      </c>
      <c r="E15" s="29">
        <f t="shared" si="0"/>
        <v>7506.6666666666679</v>
      </c>
      <c r="F15" s="30">
        <f t="shared" si="1"/>
        <v>45040</v>
      </c>
    </row>
    <row r="16" spans="1:6" x14ac:dyDescent="0.25">
      <c r="A16" s="41" t="s">
        <v>29</v>
      </c>
      <c r="B16" s="22" t="s">
        <v>24</v>
      </c>
      <c r="C16" s="31">
        <v>6343.3333333333339</v>
      </c>
      <c r="D16" s="31">
        <v>5000</v>
      </c>
      <c r="E16" s="31">
        <f t="shared" si="0"/>
        <v>2268.666666666667</v>
      </c>
      <c r="F16" s="32">
        <f t="shared" si="1"/>
        <v>13612</v>
      </c>
    </row>
    <row r="17" spans="1:6" x14ac:dyDescent="0.25">
      <c r="A17" s="42"/>
      <c r="B17" s="23" t="s">
        <v>25</v>
      </c>
      <c r="C17" s="33">
        <v>12685.833333333336</v>
      </c>
      <c r="D17" s="33">
        <v>5000</v>
      </c>
      <c r="E17" s="33">
        <f t="shared" si="0"/>
        <v>3537.1666666666674</v>
      </c>
      <c r="F17" s="34">
        <f t="shared" si="1"/>
        <v>21223.000000000004</v>
      </c>
    </row>
    <row r="18" spans="1:6" x14ac:dyDescent="0.25">
      <c r="A18" s="42"/>
      <c r="B18" s="23" t="s">
        <v>14</v>
      </c>
      <c r="C18" s="33">
        <v>23258.333333333336</v>
      </c>
      <c r="D18" s="33">
        <v>5000</v>
      </c>
      <c r="E18" s="33">
        <f t="shared" si="0"/>
        <v>5651.6666666666679</v>
      </c>
      <c r="F18" s="34">
        <f t="shared" si="1"/>
        <v>33910</v>
      </c>
    </row>
    <row r="19" spans="1:6" ht="16.5" thickBot="1" x14ac:dyDescent="0.3">
      <c r="A19" s="43"/>
      <c r="B19" s="24" t="s">
        <v>15</v>
      </c>
      <c r="C19" s="35">
        <v>42288.333333333336</v>
      </c>
      <c r="D19" s="35">
        <v>5000</v>
      </c>
      <c r="E19" s="35">
        <f t="shared" si="0"/>
        <v>9457.6666666666679</v>
      </c>
      <c r="F19" s="36">
        <f t="shared" si="1"/>
        <v>56746</v>
      </c>
    </row>
    <row r="20" spans="1:6" x14ac:dyDescent="0.25">
      <c r="A20" s="38" t="s">
        <v>30</v>
      </c>
      <c r="B20" s="17" t="s">
        <v>24</v>
      </c>
      <c r="C20" s="25">
        <v>8553.3333333333339</v>
      </c>
      <c r="D20" s="25">
        <v>5000</v>
      </c>
      <c r="E20" s="25">
        <f t="shared" si="0"/>
        <v>2710.666666666667</v>
      </c>
      <c r="F20" s="26">
        <f t="shared" si="1"/>
        <v>16264</v>
      </c>
    </row>
    <row r="21" spans="1:6" x14ac:dyDescent="0.25">
      <c r="A21" s="39"/>
      <c r="B21" s="19" t="s">
        <v>25</v>
      </c>
      <c r="C21" s="27">
        <v>17105.833333333336</v>
      </c>
      <c r="D21" s="27">
        <v>5000</v>
      </c>
      <c r="E21" s="27">
        <f t="shared" si="0"/>
        <v>4421.166666666667</v>
      </c>
      <c r="F21" s="28">
        <f t="shared" si="1"/>
        <v>26527.000000000004</v>
      </c>
    </row>
    <row r="22" spans="1:6" x14ac:dyDescent="0.25">
      <c r="A22" s="39"/>
      <c r="B22" s="19" t="s">
        <v>14</v>
      </c>
      <c r="C22" s="27">
        <v>31361.666666666672</v>
      </c>
      <c r="D22" s="27">
        <v>5000</v>
      </c>
      <c r="E22" s="27">
        <f t="shared" si="0"/>
        <v>7272.3333333333348</v>
      </c>
      <c r="F22" s="28">
        <f t="shared" si="1"/>
        <v>43634.000000000007</v>
      </c>
    </row>
    <row r="23" spans="1:6" ht="16.5" thickBot="1" x14ac:dyDescent="0.3">
      <c r="A23" s="40"/>
      <c r="B23" s="21" t="s">
        <v>15</v>
      </c>
      <c r="C23" s="29">
        <v>57023.333333333336</v>
      </c>
      <c r="D23" s="29">
        <v>5000</v>
      </c>
      <c r="E23" s="29">
        <f t="shared" si="0"/>
        <v>12404.666666666668</v>
      </c>
      <c r="F23" s="30">
        <f t="shared" si="1"/>
        <v>74428</v>
      </c>
    </row>
    <row r="24" spans="1:6" x14ac:dyDescent="0.25">
      <c r="A24" s="41" t="s">
        <v>31</v>
      </c>
      <c r="B24" s="22" t="s">
        <v>24</v>
      </c>
      <c r="C24" s="31">
        <v>10370</v>
      </c>
      <c r="D24" s="31">
        <v>5000</v>
      </c>
      <c r="E24" s="31">
        <f t="shared" si="0"/>
        <v>3074</v>
      </c>
      <c r="F24" s="32">
        <f t="shared" si="1"/>
        <v>18444</v>
      </c>
    </row>
    <row r="25" spans="1:6" x14ac:dyDescent="0.25">
      <c r="A25" s="42"/>
      <c r="B25" s="23" t="s">
        <v>25</v>
      </c>
      <c r="C25" s="33">
        <v>20740</v>
      </c>
      <c r="D25" s="33">
        <v>5000</v>
      </c>
      <c r="E25" s="33">
        <f t="shared" si="0"/>
        <v>5148</v>
      </c>
      <c r="F25" s="34">
        <f t="shared" si="1"/>
        <v>30888</v>
      </c>
    </row>
    <row r="26" spans="1:6" x14ac:dyDescent="0.25">
      <c r="A26" s="42"/>
      <c r="B26" s="23" t="s">
        <v>14</v>
      </c>
      <c r="C26" s="33">
        <v>38023.333333333336</v>
      </c>
      <c r="D26" s="33">
        <v>5000</v>
      </c>
      <c r="E26" s="33">
        <f t="shared" si="0"/>
        <v>8604.6666666666679</v>
      </c>
      <c r="F26" s="34">
        <f t="shared" si="1"/>
        <v>51628</v>
      </c>
    </row>
    <row r="27" spans="1:6" ht="16.5" thickBot="1" x14ac:dyDescent="0.3">
      <c r="A27" s="43"/>
      <c r="B27" s="24" t="s">
        <v>15</v>
      </c>
      <c r="C27" s="35">
        <v>69133.333333333343</v>
      </c>
      <c r="D27" s="35">
        <v>5000</v>
      </c>
      <c r="E27" s="35">
        <f t="shared" si="0"/>
        <v>14826.66666666667</v>
      </c>
      <c r="F27" s="36">
        <f t="shared" si="1"/>
        <v>88960.000000000015</v>
      </c>
    </row>
  </sheetData>
  <mergeCells count="7">
    <mergeCell ref="A20:A23"/>
    <mergeCell ref="A24:A27"/>
    <mergeCell ref="A1:F1"/>
    <mergeCell ref="A4:A7"/>
    <mergeCell ref="A8:A11"/>
    <mergeCell ref="A12:A15"/>
    <mergeCell ref="A16:A1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4078-B1D5-4785-AB04-FD64B672DC0F}">
  <dimension ref="A1:M20"/>
  <sheetViews>
    <sheetView zoomScale="110" zoomScaleNormal="110" workbookViewId="0">
      <selection activeCell="A6" sqref="A6:B6"/>
    </sheetView>
  </sheetViews>
  <sheetFormatPr baseColWidth="10" defaultColWidth="10.85546875" defaultRowHeight="15.75" x14ac:dyDescent="0.25"/>
  <cols>
    <col min="1" max="2" width="12.28515625" style="1" bestFit="1" customWidth="1"/>
    <col min="3" max="3" width="12.7109375" style="1" bestFit="1" customWidth="1"/>
    <col min="4" max="4" width="8.5703125" style="1" customWidth="1"/>
    <col min="5" max="5" width="9" style="1" customWidth="1"/>
    <col min="6" max="6" width="14.140625" style="1" bestFit="1" customWidth="1"/>
    <col min="7" max="7" width="8" style="1" customWidth="1"/>
    <col min="8" max="9" width="12.28515625" style="1" bestFit="1" customWidth="1"/>
    <col min="10" max="10" width="12.7109375" style="1" bestFit="1" customWidth="1"/>
    <col min="11" max="11" width="8.140625" style="1" customWidth="1"/>
    <col min="12" max="12" width="8.7109375" style="1" customWidth="1"/>
    <col min="13" max="13" width="14.140625" style="1" bestFit="1" customWidth="1"/>
    <col min="14" max="14" width="4.5703125" style="1" customWidth="1"/>
    <col min="15" max="16384" width="10.85546875" style="1"/>
  </cols>
  <sheetData>
    <row r="1" spans="1:13" x14ac:dyDescent="0.25">
      <c r="A1" s="44" t="s">
        <v>19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x14ac:dyDescent="0.25">
      <c r="A2" s="48" t="s">
        <v>1</v>
      </c>
      <c r="B2" s="48"/>
      <c r="C2" s="48"/>
      <c r="D2" s="48"/>
    </row>
    <row r="3" spans="1:13" x14ac:dyDescent="0.25">
      <c r="A3" s="48" t="s">
        <v>2</v>
      </c>
      <c r="B3" s="48"/>
      <c r="C3" s="48"/>
      <c r="D3" s="48"/>
    </row>
    <row r="5" spans="1:13" ht="16.5" thickBot="1" x14ac:dyDescent="0.3">
      <c r="A5" s="2" t="s">
        <v>3</v>
      </c>
      <c r="B5" s="3"/>
      <c r="C5" s="3"/>
      <c r="D5" s="3"/>
      <c r="E5" s="3"/>
      <c r="F5" s="3"/>
      <c r="H5" s="2" t="s">
        <v>18</v>
      </c>
      <c r="I5" s="3"/>
      <c r="J5" s="3"/>
      <c r="K5" s="3"/>
      <c r="L5" s="3"/>
      <c r="M5" s="3"/>
    </row>
    <row r="6" spans="1:13" ht="16.5" thickBot="1" x14ac:dyDescent="0.3">
      <c r="A6" s="4" t="s">
        <v>0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H6" s="4" t="s">
        <v>0</v>
      </c>
      <c r="I6" s="4" t="s">
        <v>4</v>
      </c>
      <c r="J6" s="4" t="s">
        <v>5</v>
      </c>
      <c r="K6" s="4" t="s">
        <v>6</v>
      </c>
      <c r="L6" s="4" t="s">
        <v>7</v>
      </c>
      <c r="M6" s="4" t="s">
        <v>8</v>
      </c>
    </row>
    <row r="7" spans="1:13" x14ac:dyDescent="0.25">
      <c r="A7" s="12" t="s">
        <v>9</v>
      </c>
      <c r="B7" s="45" t="s">
        <v>16</v>
      </c>
      <c r="C7" s="5">
        <v>5250</v>
      </c>
      <c r="D7" s="5">
        <v>2000</v>
      </c>
      <c r="E7" s="5">
        <f t="shared" ref="E7:E14" si="0">20%*(C7+D7)</f>
        <v>1450</v>
      </c>
      <c r="F7" s="6">
        <f t="shared" ref="F7:F14" si="1">C7+D7+E7</f>
        <v>8700</v>
      </c>
      <c r="H7" s="12" t="s">
        <v>9</v>
      </c>
      <c r="I7" s="45" t="s">
        <v>16</v>
      </c>
      <c r="J7" s="5">
        <v>7833.3333333333339</v>
      </c>
      <c r="K7" s="5">
        <v>2000</v>
      </c>
      <c r="L7" s="5">
        <f t="shared" ref="L7:L14" si="2">20%*(J7+K7)</f>
        <v>1966.666666666667</v>
      </c>
      <c r="M7" s="6">
        <f t="shared" ref="M7:M14" si="3">J7+K7+L7</f>
        <v>11800</v>
      </c>
    </row>
    <row r="8" spans="1:13" x14ac:dyDescent="0.25">
      <c r="A8" s="13" t="s">
        <v>10</v>
      </c>
      <c r="B8" s="46"/>
      <c r="C8" s="7">
        <v>10583.333333333334</v>
      </c>
      <c r="D8" s="7">
        <v>2000</v>
      </c>
      <c r="E8" s="7">
        <f t="shared" si="0"/>
        <v>2516.666666666667</v>
      </c>
      <c r="F8" s="8">
        <f t="shared" si="1"/>
        <v>15100</v>
      </c>
      <c r="H8" s="13" t="s">
        <v>10</v>
      </c>
      <c r="I8" s="46"/>
      <c r="J8" s="7">
        <v>12166.666666666668</v>
      </c>
      <c r="K8" s="7">
        <v>2000</v>
      </c>
      <c r="L8" s="7">
        <f t="shared" si="2"/>
        <v>2833.3333333333339</v>
      </c>
      <c r="M8" s="8">
        <f t="shared" si="3"/>
        <v>17000</v>
      </c>
    </row>
    <row r="9" spans="1:13" x14ac:dyDescent="0.25">
      <c r="A9" s="13" t="s">
        <v>11</v>
      </c>
      <c r="B9" s="46"/>
      <c r="C9" s="7">
        <v>15083.333333333336</v>
      </c>
      <c r="D9" s="7">
        <v>2000</v>
      </c>
      <c r="E9" s="7">
        <f t="shared" si="0"/>
        <v>3416.6666666666674</v>
      </c>
      <c r="F9" s="8">
        <f t="shared" si="1"/>
        <v>20500.000000000004</v>
      </c>
      <c r="H9" s="13" t="s">
        <v>11</v>
      </c>
      <c r="I9" s="46"/>
      <c r="J9" s="7">
        <v>18250</v>
      </c>
      <c r="K9" s="7">
        <v>2000</v>
      </c>
      <c r="L9" s="7">
        <f t="shared" si="2"/>
        <v>4050</v>
      </c>
      <c r="M9" s="8">
        <f t="shared" si="3"/>
        <v>24300</v>
      </c>
    </row>
    <row r="10" spans="1:13" x14ac:dyDescent="0.25">
      <c r="A10" s="13" t="s">
        <v>12</v>
      </c>
      <c r="B10" s="46"/>
      <c r="C10" s="7">
        <v>23166.666666666668</v>
      </c>
      <c r="D10" s="7">
        <v>2000</v>
      </c>
      <c r="E10" s="7">
        <f t="shared" si="0"/>
        <v>5033.3333333333339</v>
      </c>
      <c r="F10" s="8">
        <f t="shared" si="1"/>
        <v>30200</v>
      </c>
      <c r="H10" s="13" t="s">
        <v>12</v>
      </c>
      <c r="I10" s="46"/>
      <c r="J10" s="7">
        <v>33833.333333333336</v>
      </c>
      <c r="K10" s="7">
        <v>2000</v>
      </c>
      <c r="L10" s="7">
        <f t="shared" si="2"/>
        <v>7166.6666666666679</v>
      </c>
      <c r="M10" s="8">
        <f t="shared" si="3"/>
        <v>43000</v>
      </c>
    </row>
    <row r="11" spans="1:13" x14ac:dyDescent="0.25">
      <c r="A11" s="13" t="s">
        <v>13</v>
      </c>
      <c r="B11" s="46"/>
      <c r="C11" s="7">
        <v>30500</v>
      </c>
      <c r="D11" s="7">
        <v>2000</v>
      </c>
      <c r="E11" s="7">
        <f t="shared" si="0"/>
        <v>6500</v>
      </c>
      <c r="F11" s="8">
        <f t="shared" si="1"/>
        <v>39000</v>
      </c>
      <c r="H11" s="13" t="s">
        <v>13</v>
      </c>
      <c r="I11" s="46"/>
      <c r="J11" s="7">
        <v>42583.333333333336</v>
      </c>
      <c r="K11" s="7">
        <v>2000</v>
      </c>
      <c r="L11" s="7">
        <f t="shared" si="2"/>
        <v>8916.6666666666679</v>
      </c>
      <c r="M11" s="8">
        <f t="shared" si="3"/>
        <v>53500</v>
      </c>
    </row>
    <row r="12" spans="1:13" x14ac:dyDescent="0.25">
      <c r="A12" s="13" t="s">
        <v>14</v>
      </c>
      <c r="B12" s="46"/>
      <c r="C12" s="7">
        <v>40500</v>
      </c>
      <c r="D12" s="7">
        <v>2000</v>
      </c>
      <c r="E12" s="7">
        <f t="shared" si="0"/>
        <v>8500</v>
      </c>
      <c r="F12" s="8">
        <f t="shared" si="1"/>
        <v>51000</v>
      </c>
      <c r="H12" s="13" t="s">
        <v>14</v>
      </c>
      <c r="I12" s="46"/>
      <c r="J12" s="7">
        <v>58416.666666666672</v>
      </c>
      <c r="K12" s="7">
        <v>2000</v>
      </c>
      <c r="L12" s="7">
        <f t="shared" si="2"/>
        <v>12083.333333333336</v>
      </c>
      <c r="M12" s="8">
        <f t="shared" si="3"/>
        <v>72500</v>
      </c>
    </row>
    <row r="13" spans="1:13" ht="16.5" thickBot="1" x14ac:dyDescent="0.3">
      <c r="A13" s="14" t="s">
        <v>15</v>
      </c>
      <c r="B13" s="47"/>
      <c r="C13" s="9">
        <v>47166.666666666672</v>
      </c>
      <c r="D13" s="9">
        <v>2000</v>
      </c>
      <c r="E13" s="9">
        <f t="shared" si="0"/>
        <v>9833.3333333333358</v>
      </c>
      <c r="F13" s="10">
        <f t="shared" si="1"/>
        <v>59000.000000000007</v>
      </c>
      <c r="H13" s="14" t="s">
        <v>15</v>
      </c>
      <c r="I13" s="47"/>
      <c r="J13" s="9">
        <v>70500</v>
      </c>
      <c r="K13" s="9">
        <v>2000</v>
      </c>
      <c r="L13" s="9">
        <f t="shared" si="2"/>
        <v>14500</v>
      </c>
      <c r="M13" s="10">
        <f t="shared" si="3"/>
        <v>87000</v>
      </c>
    </row>
    <row r="14" spans="1:13" x14ac:dyDescent="0.25">
      <c r="A14" s="12" t="s">
        <v>9</v>
      </c>
      <c r="B14" s="45" t="s">
        <v>17</v>
      </c>
      <c r="C14" s="5">
        <v>7750</v>
      </c>
      <c r="D14" s="5">
        <v>2000</v>
      </c>
      <c r="E14" s="5">
        <f t="shared" si="0"/>
        <v>1950</v>
      </c>
      <c r="F14" s="11">
        <f t="shared" si="1"/>
        <v>11700</v>
      </c>
      <c r="H14" s="12" t="s">
        <v>9</v>
      </c>
      <c r="I14" s="45" t="s">
        <v>17</v>
      </c>
      <c r="J14" s="5">
        <v>11166.666666666668</v>
      </c>
      <c r="K14" s="5">
        <v>2000</v>
      </c>
      <c r="L14" s="5">
        <f t="shared" si="2"/>
        <v>2633.3333333333339</v>
      </c>
      <c r="M14" s="11">
        <f t="shared" si="3"/>
        <v>15800.000000000002</v>
      </c>
    </row>
    <row r="15" spans="1:13" x14ac:dyDescent="0.25">
      <c r="A15" s="13" t="s">
        <v>10</v>
      </c>
      <c r="B15" s="46"/>
      <c r="C15" s="7">
        <v>10916.666666666668</v>
      </c>
      <c r="D15" s="7">
        <v>2000</v>
      </c>
      <c r="E15" s="7">
        <f t="shared" ref="E15:E20" si="4">20%*(C15+D15)</f>
        <v>2583.3333333333339</v>
      </c>
      <c r="F15" s="8">
        <f t="shared" ref="F15:F20" si="5">C15+D15+E15</f>
        <v>15500.000000000002</v>
      </c>
      <c r="H15" s="13" t="s">
        <v>10</v>
      </c>
      <c r="I15" s="46"/>
      <c r="J15" s="7">
        <v>16583.333333333336</v>
      </c>
      <c r="K15" s="7">
        <v>2000</v>
      </c>
      <c r="L15" s="7">
        <f t="shared" ref="L15:L20" si="6">20%*(J15+K15)</f>
        <v>3716.6666666666674</v>
      </c>
      <c r="M15" s="8">
        <f t="shared" ref="M15:M20" si="7">J15+K15+L15</f>
        <v>22300.000000000004</v>
      </c>
    </row>
    <row r="16" spans="1:13" x14ac:dyDescent="0.25">
      <c r="A16" s="13" t="s">
        <v>11</v>
      </c>
      <c r="B16" s="46"/>
      <c r="C16" s="7">
        <v>18250</v>
      </c>
      <c r="D16" s="7">
        <v>2000</v>
      </c>
      <c r="E16" s="7">
        <f t="shared" si="4"/>
        <v>4050</v>
      </c>
      <c r="F16" s="8">
        <f t="shared" si="5"/>
        <v>24300</v>
      </c>
      <c r="H16" s="13" t="s">
        <v>11</v>
      </c>
      <c r="I16" s="46"/>
      <c r="J16" s="7">
        <v>24916.666666666668</v>
      </c>
      <c r="K16" s="7">
        <v>2000</v>
      </c>
      <c r="L16" s="7">
        <f t="shared" si="6"/>
        <v>5383.3333333333339</v>
      </c>
      <c r="M16" s="8">
        <f t="shared" si="7"/>
        <v>32300</v>
      </c>
    </row>
    <row r="17" spans="1:13" x14ac:dyDescent="0.25">
      <c r="A17" s="13" t="s">
        <v>12</v>
      </c>
      <c r="B17" s="46"/>
      <c r="C17" s="7">
        <v>33416.666666666672</v>
      </c>
      <c r="D17" s="7">
        <v>2000</v>
      </c>
      <c r="E17" s="7">
        <f t="shared" si="4"/>
        <v>7083.3333333333348</v>
      </c>
      <c r="F17" s="8">
        <f t="shared" si="5"/>
        <v>42500.000000000007</v>
      </c>
      <c r="H17" s="13" t="s">
        <v>12</v>
      </c>
      <c r="I17" s="46"/>
      <c r="J17" s="7">
        <v>39666.666666666672</v>
      </c>
      <c r="K17" s="7">
        <v>2000</v>
      </c>
      <c r="L17" s="7">
        <f t="shared" si="6"/>
        <v>8333.3333333333339</v>
      </c>
      <c r="M17" s="8">
        <f t="shared" si="7"/>
        <v>50000.000000000007</v>
      </c>
    </row>
    <row r="18" spans="1:13" x14ac:dyDescent="0.25">
      <c r="A18" s="13" t="s">
        <v>13</v>
      </c>
      <c r="B18" s="46"/>
      <c r="C18" s="7">
        <v>42166.666666666672</v>
      </c>
      <c r="D18" s="7">
        <v>2000</v>
      </c>
      <c r="E18" s="7">
        <f t="shared" si="4"/>
        <v>8833.3333333333339</v>
      </c>
      <c r="F18" s="8">
        <f t="shared" si="5"/>
        <v>53000.000000000007</v>
      </c>
      <c r="H18" s="13" t="s">
        <v>13</v>
      </c>
      <c r="I18" s="46"/>
      <c r="J18" s="7">
        <v>51333.333333333336</v>
      </c>
      <c r="K18" s="7">
        <v>2000</v>
      </c>
      <c r="L18" s="7">
        <f t="shared" si="6"/>
        <v>10666.666666666668</v>
      </c>
      <c r="M18" s="8">
        <f t="shared" si="7"/>
        <v>64000</v>
      </c>
    </row>
    <row r="19" spans="1:13" x14ac:dyDescent="0.25">
      <c r="A19" s="13" t="s">
        <v>14</v>
      </c>
      <c r="B19" s="46"/>
      <c r="C19" s="7">
        <v>47583</v>
      </c>
      <c r="D19" s="7">
        <v>2000</v>
      </c>
      <c r="E19" s="7">
        <f t="shared" si="4"/>
        <v>9916.6</v>
      </c>
      <c r="F19" s="8">
        <f t="shared" si="5"/>
        <v>59499.6</v>
      </c>
      <c r="H19" s="13" t="s">
        <v>14</v>
      </c>
      <c r="I19" s="46"/>
      <c r="J19" s="7">
        <v>78416.666666666672</v>
      </c>
      <c r="K19" s="7">
        <v>2000</v>
      </c>
      <c r="L19" s="7">
        <f t="shared" si="6"/>
        <v>16083.333333333336</v>
      </c>
      <c r="M19" s="8">
        <f t="shared" si="7"/>
        <v>96500</v>
      </c>
    </row>
    <row r="20" spans="1:13" ht="16.5" thickBot="1" x14ac:dyDescent="0.3">
      <c r="A20" s="14" t="s">
        <v>15</v>
      </c>
      <c r="B20" s="47"/>
      <c r="C20" s="9">
        <v>52166.666666666672</v>
      </c>
      <c r="D20" s="9">
        <v>2000</v>
      </c>
      <c r="E20" s="9">
        <f t="shared" si="4"/>
        <v>10833.333333333336</v>
      </c>
      <c r="F20" s="10">
        <f t="shared" si="5"/>
        <v>65000.000000000007</v>
      </c>
      <c r="H20" s="14" t="s">
        <v>15</v>
      </c>
      <c r="I20" s="47"/>
      <c r="J20" s="9">
        <v>98000</v>
      </c>
      <c r="K20" s="9">
        <v>2000</v>
      </c>
      <c r="L20" s="9">
        <f t="shared" si="6"/>
        <v>20000</v>
      </c>
      <c r="M20" s="10">
        <f t="shared" si="7"/>
        <v>120000</v>
      </c>
    </row>
  </sheetData>
  <mergeCells count="7">
    <mergeCell ref="A1:M1"/>
    <mergeCell ref="B7:B13"/>
    <mergeCell ref="B14:B20"/>
    <mergeCell ref="I7:I13"/>
    <mergeCell ref="I14:I20"/>
    <mergeCell ref="A2:D2"/>
    <mergeCell ref="A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Compagnies</vt:lpstr>
      <vt:lpstr>Auto</vt:lpstr>
      <vt:lpstr>Voyage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Office</cp:lastModifiedBy>
  <dcterms:created xsi:type="dcterms:W3CDTF">2026-08-03T22:26:40Z</dcterms:created>
  <dcterms:modified xsi:type="dcterms:W3CDTF">2026-08-07T15:09:42Z</dcterms:modified>
</cp:coreProperties>
</file>